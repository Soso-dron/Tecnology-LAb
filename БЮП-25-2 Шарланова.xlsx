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Пользователь"/>
  <workbookPr/>
  <bookViews>
    <workbookView activeTab="0" xWindow="240" yWindow="60" windowWidth="0" windowHeight="0" tabRatio="500"/>
  </bookViews>
  <sheets>
    <sheet name="Исходные данные" sheetId="1" r:id="rId4"/>
    <sheet name="Расчетные показатели" sheetId="2" r:id="rId5"/>
    <sheet name="Сравнительный анализ" sheetId="3" r:id="rId6"/>
  </sheets>
  <calcPr/>
  <extLst>
    <ext uri="smNativeData">
      <pm:revision xmlns:pm="smNativeData" day="1774876006" val="1062" rev="124" revOS="4" revMin="124" revMax="0"/>
      <pm:docPrefs xmlns:pm="smNativeData" id="1774876006" fixedDigits="0" showNotice="1" showProtection="1" showFrameBounds="1" autoChart="1" recalcOnPrint="1" recalcOnCopy="1" tab="567" useDefinedPrintRange="1" printArea="currentSheet"/>
      <pm:compatibility xmlns:pm="smNativeData" id="1774876006"/>
      <pm:defCurrency xmlns:pm="smNativeData" id="1774876006"/>
    </ext>
  </extLst>
</workbook>
</file>

<file path=xl/comments1.xml><?xml version="1.0" encoding="utf-8"?>
<comments xmlns="http://schemas.openxmlformats.org/spreadsheetml/2006/main">
  <authors>
    <author>Unknown</author>
  </authors>
  <commentList>
    <comment ref="B1" authorId="0">
      <text/>
    </comment>
  </commentList>
</comments>
</file>

<file path=xl/sharedStrings.xml><?xml version="1.0" encoding="utf-8"?>
<sst xmlns="http://schemas.openxmlformats.org/spreadsheetml/2006/main" count="32" uniqueCount="24">
  <si>
    <t>Показатель</t>
  </si>
  <si>
    <t>Поступило дел</t>
  </si>
  <si>
    <t>Рассмотрено</t>
  </si>
  <si>
    <t>Удовлетворено</t>
  </si>
  <si>
    <t>Отказано</t>
  </si>
  <si>
    <t>Прекращено производством</t>
  </si>
  <si>
    <t>Средний срок рассмотрения (дни)</t>
  </si>
  <si>
    <t>2014(%)</t>
  </si>
  <si>
    <t>2024(%)</t>
  </si>
  <si>
    <t>Динамика роста поступивших дел (2014→2024)</t>
  </si>
  <si>
    <t>—</t>
  </si>
  <si>
    <t>Динамика роста рассмотренных дел (2014→2024)</t>
  </si>
  <si>
    <t>Доля удовлетворенных исков</t>
  </si>
  <si>
    <t>Доля отказанных исков</t>
  </si>
  <si>
    <t>Доля прекращенных дел</t>
  </si>
  <si>
    <t>Эффективность судопроизводства</t>
  </si>
  <si>
    <t>Средний срок рассмотрения</t>
  </si>
  <si>
    <t>Рассмотрено дел</t>
  </si>
  <si>
    <t>Удовлетворено исков</t>
  </si>
  <si>
    <t>Прекращено</t>
  </si>
  <si>
    <t>Доля удовлетворенных (%)</t>
  </si>
  <si>
    <t>Доля отказанных (%)</t>
  </si>
  <si>
    <t>Эффективность (%)</t>
  </si>
  <si>
    <t>Средний срок (дни)</t>
  </si>
</sst>
</file>

<file path=xl/styles.xml><?xml version="1.0" encoding="utf-8"?>
<styleSheet xmlns="http://schemas.openxmlformats.org/spreadsheetml/2006/main">
  <numFmts count="16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0.0%"/>
    <numFmt numFmtId="10" formatCode="0.00%"/>
    <numFmt numFmtId="1" formatCode="0"/>
    <numFmt numFmtId="165" formatCode="0.000%"/>
    <numFmt numFmtId="166" formatCode="0.0"/>
    <numFmt numFmtId="2" formatCode="0.00"/>
    <numFmt numFmtId="167" formatCode="0.000"/>
    <numFmt numFmtId="9" formatCode="0%"/>
  </numFmts>
  <fonts count="1">
    <font>
      <name val="Arial"/>
      <charset val="204"/>
      <family val="2"/>
      <color rgb="FF000000"/>
      <sz val="10"/>
      <extLst>
        <ext uri="smNativeData">
          <pm:charSpec xmlns:pm="smNativeData" id="1774876006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74876006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87600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876006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5">
    <xf numFmtId="0" fontId="0" fillId="0" borderId="0" xfId="0"/>
    <xf numFmtId="1" fontId="0" fillId="0" borderId="0" xfId="0" applyNumberFormat="1"/>
    <xf numFmtId="1" fontId="0" fillId="0" borderId="0" xfId="0" applyNumberFormat="1"/>
    <xf numFmtId="1" fontId="0" fillId="0" borderId="0" xfId="0" applyNumberFormat="1"/>
    <xf numFmtId="1" fontId="0" fillId="0" borderId="0" xfId="0" applyNumberFormat="1"/>
  </cellXfs>
  <cellStyles count="1">
    <cellStyle name="Normal" xfId="0" builtinId="0" customBuiltin="1"/>
  </cellStyles>
  <tableStyles count="0"/>
  <extLst>
    <ext uri="smNativeData">
      <pm:charStyles xmlns:pm="smNativeData" id="1774876006" count="1">
        <pm:charStyle name="Обычный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autoTitleDeleted val="1"/>
    <c:plotArea>
      <c:layout/>
      <c:lineChart>
        <c:grouping val="standard"/>
        <c:ser>
          <c:idx val="0"/>
          <c:order val="0"/>
          <c:marker>
            <c:symbol val="none"/>
          </c:marker>
          <c:cat>
            <c:numRef>
              <c:f>'Исходные данные'!$B$1:$L$1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'Исходные данные'!$B$1:$L$1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val>
          <c:smooth val="0"/>
          <c:extLst>
            <c:ext xmlns:sm="smo" uri="smo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ser>
          <c:idx val="1"/>
          <c:order val="1"/>
          <c:marker>
            <c:symbol val="none"/>
          </c:marker>
          <c:cat>
            <c:numRef>
              <c:f>'Исходные данные'!$B$1:$L$1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'Исходные данные'!$B$2:$L$2</c:f>
              <c:numCache>
                <c:formatCode>General</c:formatCode>
                <c:ptCount val="11"/>
                <c:pt idx="0">
                  <c:v>411494</c:v>
                </c:pt>
                <c:pt idx="1">
                  <c:v>486744</c:v>
                </c:pt>
                <c:pt idx="2">
                  <c:v>516408</c:v>
                </c:pt>
                <c:pt idx="3">
                  <c:v>539023</c:v>
                </c:pt>
                <c:pt idx="4">
                  <c:v>536690</c:v>
                </c:pt>
                <c:pt idx="5">
                  <c:v>539727</c:v>
                </c:pt>
                <c:pt idx="6">
                  <c:v>486425</c:v>
                </c:pt>
                <c:pt idx="7">
                  <c:v>537041</c:v>
                </c:pt>
                <c:pt idx="8">
                  <c:v>521116</c:v>
                </c:pt>
                <c:pt idx="9">
                  <c:v>525000</c:v>
                </c:pt>
                <c:pt idx="10">
                  <c:v>530000</c:v>
                </c:pt>
              </c:numCache>
            </c:numRef>
          </c:val>
          <c:smooth val="0"/>
          <c:extLst>
            <c:ext xmlns:sm="smo" uri="smo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extLst>
          <c:ext xmlns:sm="smo" uri="smo">
            <sm:boxPlot xmlns:sm="smo" val="0"/>
            <sm:turned xmlns:sm="smo" val="0"/>
          </c:ext>
        </c:extLst>
        <c:axId val="10"/>
        <c:axId val="11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txPr>
          <a:bodyPr rot="-5400000"/>
          <a:lstStyle/>
          <a:p>
            <a:pPr>
              <a:defRPr/>
            </a:pPr>
          </a:p>
        </c:txPr>
        <c:crossAx val="11"/>
        <c:crosses val="autoZero"/>
        <c:auto val="1"/>
      </c:catAx>
      <c:valAx>
        <c:axId val="11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  <c:txPr>
        <a:bodyPr anchor="t"/>
        <a:lstStyle/>
        <a:p>
          <a:pPr>
            <a:defRPr/>
          </a:pPr>
        </a:p>
      </c:txPr>
    </c:legend>
    <c:plotVisOnly val="1"/>
    <c:dispBlanksAs val="gap"/>
  </c:chart>
  <c:spPr/>
  <c:txPr>
    <a:bodyPr anchor="ctr" anchorCtr="1" rot="0"/>
    <a:lstStyle/>
    <a:p>
      <a:pPr>
        <a:defRPr lang="ru-ru" sz="1000" b="0" i="0" u="none" strike="noStrike">
          <a:solidFill>
            <a:srgbClr val="000000"/>
          </a:solidFill>
          <a:latin typeface="Arial"/>
        </a:defRPr>
      </a:pPr>
    </a:p>
  </c:txPr>
  <c:extLst>
    <c:ext xmlns:sm="smo" uri="smo">
      <sm:colorScheme xmlns:sm="smo" id="1774876006" val="7"/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autoTitleDeleted val="1"/>
    <c:plotArea>
      <c:layout/>
      <c:barChart>
        <c:barDir val="col"/>
        <c:grouping val="standard"/>
        <c:ser>
          <c:idx val="0"/>
          <c:order val="0"/>
          <c:cat>
            <c:strRef>
              <c:f>'Исходные данные'!$E$12:$E$14</c:f>
              <c:strCache>
                <c:ptCount val="3"/>
                <c:pt idx="0">
                  <c:v>Удовлетворено</c:v>
                </c:pt>
                <c:pt idx="1">
                  <c:v>Отказано</c:v>
                </c:pt>
                <c:pt idx="2">
                  <c:v>Прекращено производством</c:v>
                </c:pt>
              </c:strCache>
            </c:strRef>
          </c:cat>
          <c:val>
            <c:numRef>
              <c:f>'Исходные данные'!$F$11:$G$11</c:f>
              <c:numCache>
                <c:formatCode>General</c:formatCode>
                <c:ptCount val="2"/>
                <c:pt idx="0">
                  <c:v>2014</c:v>
                </c:pt>
                <c:pt idx="1">
                  <c:v>2024</c:v>
                </c:pt>
              </c:numCache>
            </c:numRef>
          </c:val>
          <c:extLst>
            <c:ext xmlns:sm="smo" uri="smo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ser>
          <c:idx val="1"/>
          <c:order val="1"/>
          <c:cat>
            <c:strRef>
              <c:f>'Исходные данные'!$E$12:$E$14</c:f>
              <c:strCache>
                <c:ptCount val="3"/>
                <c:pt idx="0">
                  <c:v>Удовлетворено</c:v>
                </c:pt>
                <c:pt idx="1">
                  <c:v>Отказано</c:v>
                </c:pt>
                <c:pt idx="2">
                  <c:v>Прекращено производством</c:v>
                </c:pt>
              </c:strCache>
            </c:strRef>
          </c:cat>
          <c:val>
            <c:numRef>
              <c:f>'Исходные данные'!$F$12:$F$14</c:f>
              <c:numCache>
                <c:formatCode>General</c:formatCode>
                <c:ptCount val="3"/>
                <c:pt idx="0">
                  <c:v>350000</c:v>
                </c:pt>
                <c:pt idx="1">
                  <c:v>25000</c:v>
                </c:pt>
                <c:pt idx="2">
                  <c:v>23765</c:v>
                </c:pt>
              </c:numCache>
            </c:numRef>
          </c:val>
          <c:extLst>
            <c:ext xmlns:sm="smo" uri="smo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ser>
          <c:idx val="2"/>
          <c:order val="2"/>
          <c:cat>
            <c:strRef>
              <c:f>'Исходные данные'!$E$12:$E$14</c:f>
              <c:strCache>
                <c:ptCount val="3"/>
                <c:pt idx="0">
                  <c:v>Удовлетворено</c:v>
                </c:pt>
                <c:pt idx="1">
                  <c:v>Отказано</c:v>
                </c:pt>
                <c:pt idx="2">
                  <c:v>Прекращено производством</c:v>
                </c:pt>
              </c:strCache>
            </c:strRef>
          </c:cat>
          <c:val>
            <c:numRef>
              <c:f>'Исходные данные'!$G$12:$G$14</c:f>
              <c:numCache>
                <c:formatCode>General</c:formatCode>
                <c:ptCount val="3"/>
                <c:pt idx="0">
                  <c:v>455000</c:v>
                </c:pt>
                <c:pt idx="1">
                  <c:v>28000</c:v>
                </c:pt>
                <c:pt idx="2">
                  <c:v>31100</c:v>
                </c:pt>
              </c:numCache>
            </c:numRef>
          </c:val>
          <c:extLst>
            <c:ext xmlns:sm="smo" uri="smo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00"/>
        <c:axId val="10"/>
        <c:axId val="11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txPr>
          <a:bodyPr rot="-5400000"/>
          <a:lstStyle/>
          <a:p>
            <a:pPr>
              <a:defRPr/>
            </a:pPr>
          </a:p>
        </c:txPr>
        <c:crossAx val="11"/>
        <c:crosses val="autoZero"/>
        <c:auto val="1"/>
      </c:catAx>
      <c:valAx>
        <c:axId val="11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  <c:txPr>
        <a:bodyPr anchor="t"/>
        <a:lstStyle/>
        <a:p>
          <a:pPr>
            <a:defRPr/>
          </a:pPr>
        </a:p>
      </c:txPr>
    </c:legend>
    <c:plotVisOnly val="1"/>
    <c:dispBlanksAs val="gap"/>
  </c:chart>
  <c:spPr/>
  <c:txPr>
    <a:bodyPr anchor="ctr" anchorCtr="1" rot="0"/>
    <a:lstStyle/>
    <a:p>
      <a:pPr>
        <a:defRPr lang="ru-ru" sz="1000" b="1" i="0" u="none" strike="noStrike">
          <a:solidFill>
            <a:srgbClr val="000000"/>
          </a:solidFill>
          <a:latin typeface="Arial"/>
        </a:defRPr>
      </a:pPr>
    </a:p>
  </c:txPr>
  <c:extLst>
    <c:ext xmlns:sm="smo" uri="smo">
      <sm:colorScheme xmlns:sm="smo" id="1774876006" val="7"/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title>
      <c:tx>
        <c:rich>
          <a:bodyPr/>
          <a:lstStyle/>
          <a:p>
            <a:pPr>
              <a:defRPr lang="ru-ru" sz="1000" b="1" i="0" u="none" strike="noStrike">
                <a:solidFill>
                  <a:srgbClr val="000000"/>
                </a:solidFill>
                <a:latin typeface="Arial"/>
              </a:defRPr>
            </a:pPr>
            <a:r>
              <a:t>Распределение исходов дел о разделе имущества 2014 - 2024</a:t>
            </a:r>
          </a:p>
        </c:rich>
      </c:tx>
      <c:layout/>
      <c:overlay val="0"/>
      <c:spPr>
        <a:noFill/>
        <a:ln>
          <a:noFill/>
        </a:ln>
      </c:spPr>
    </c:title>
    <c:plotArea>
      <c:layout/>
      <c:pieChart>
        <c:varyColors val="1"/>
        <c:ser>
          <c:idx val="0"/>
          <c:order val="0"/>
          <c:cat>
            <c:strRef>
              <c:f>'Исходные данные'!$A$4:$A$6</c:f>
              <c:strCache>
                <c:ptCount val="3"/>
                <c:pt idx="0">
                  <c:v>Удовлетворено</c:v>
                </c:pt>
                <c:pt idx="1">
                  <c:v>Отказано</c:v>
                </c:pt>
                <c:pt idx="2">
                  <c:v>Прекращено производством</c:v>
                </c:pt>
              </c:strCache>
            </c:strRef>
          </c:cat>
          <c:val>
            <c:numRef>
              <c:f>'Исходные данные'!$L$4:$L$6</c:f>
              <c:numCache>
                <c:formatCode>General</c:formatCode>
                <c:ptCount val="3"/>
                <c:pt idx="0">
                  <c:v>455000</c:v>
                </c:pt>
                <c:pt idx="1">
                  <c:v>28000</c:v>
                </c:pt>
                <c:pt idx="2">
                  <c:v>31100</c:v>
                </c:pt>
              </c:numCache>
            </c:numRef>
          </c:val>
          <c:extLst>
            <c:ext xmlns:sm="smo" uri="smo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/>
      <c:overlay val="0"/>
      <c:txPr>
        <a:bodyPr anchor="t"/>
        <a:lstStyle/>
        <a:p>
          <a:pPr>
            <a:defRPr/>
          </a:pPr>
        </a:p>
      </c:txPr>
    </c:legend>
    <c:plotVisOnly val="1"/>
    <c:dispBlanksAs val="gap"/>
  </c:chart>
  <c:spPr/>
  <c:txPr>
    <a:bodyPr anchor="ctr" anchorCtr="1" rot="0"/>
    <a:lstStyle/>
    <a:p>
      <a:pPr>
        <a:defRPr lang="ru-ru" sz="1000" b="0" i="0" u="none" strike="noStrike">
          <a:solidFill>
            <a:srgbClr val="000000"/>
          </a:solidFill>
          <a:latin typeface="Arial"/>
        </a:defRPr>
      </a:pPr>
    </a:p>
  </c:txPr>
  <c:extLst>
    <c:ext xmlns:sm="smo" uri="smo">
      <sm:colorScheme xmlns:sm="smo" id="1774876006" val="7"/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title>
      <c:tx>
        <c:rich>
          <a:bodyPr/>
          <a:lstStyle/>
          <a:p>
            <a:pPr>
              <a:defRPr lang="ru-ru" sz="1000" b="1" i="0" u="none" strike="noStrike">
                <a:solidFill>
                  <a:srgbClr val="000000"/>
                </a:solidFill>
                <a:latin typeface="Arial"/>
              </a:defRPr>
            </a:pPr>
            <a:r>
              <a:t>Средние сроки рассмотрения дел по годам</a:t>
            </a:r>
          </a:p>
        </c:rich>
      </c:tx>
      <c:layout/>
      <c:overlay val="0"/>
      <c:spPr>
        <a:noFill/>
        <a:ln>
          <a:noFill/>
        </a:ln>
      </c:spPr>
    </c:title>
    <c:plotArea>
      <c:layout/>
      <c:barChart>
        <c:barDir val="col"/>
        <c:grouping val="standard"/>
        <c:ser>
          <c:idx val="0"/>
          <c:order val="0"/>
          <c:cat>
            <c:numRef>
              <c:f>'Исходные данные'!$B$1:$L$1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'Исходные данные'!$B$7:$L$7</c:f>
              <c:numCache>
                <c:formatCode>General</c:formatCode>
                <c:ptCount val="11"/>
                <c:pt idx="0">
                  <c:v>35</c:v>
                </c:pt>
                <c:pt idx="1">
                  <c:v>34</c:v>
                </c:pt>
                <c:pt idx="2">
                  <c:v>33</c:v>
                </c:pt>
                <c:pt idx="3">
                  <c:v>32</c:v>
                </c:pt>
                <c:pt idx="4">
                  <c:v>31</c:v>
                </c:pt>
                <c:pt idx="5">
                  <c:v>30</c:v>
                </c:pt>
                <c:pt idx="6">
                  <c:v>33</c:v>
                </c:pt>
                <c:pt idx="7">
                  <c:v>29</c:v>
                </c:pt>
                <c:pt idx="8">
                  <c:v>28</c:v>
                </c:pt>
                <c:pt idx="9">
                  <c:v>28</c:v>
                </c:pt>
                <c:pt idx="10">
                  <c:v>27</c:v>
                </c:pt>
              </c:numCache>
            </c:numRef>
          </c:val>
          <c:extLst>
            <c:ext xmlns:sm="smo" uri="smo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00"/>
        <c:axId val="10"/>
        <c:axId val="11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txPr>
          <a:bodyPr rot="-5400000"/>
          <a:lstStyle/>
          <a:p>
            <a:pPr>
              <a:defRPr/>
            </a:pPr>
          </a:p>
        </c:txPr>
        <c:crossAx val="11"/>
        <c:crosses val="autoZero"/>
        <c:auto val="1"/>
      </c:catAx>
      <c:valAx>
        <c:axId val="11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</c:chart>
  <c:spPr/>
  <c:txPr>
    <a:bodyPr anchor="ctr" anchorCtr="1" rot="0"/>
    <a:lstStyle/>
    <a:p>
      <a:pPr>
        <a:defRPr lang="ru-ru" sz="1000" b="0" i="0" u="none" strike="noStrike">
          <a:solidFill>
            <a:srgbClr val="000000"/>
          </a:solidFill>
          <a:latin typeface="Arial"/>
        </a:defRPr>
      </a:pPr>
    </a:p>
  </c:txPr>
  <c:extLst>
    <c:ext xmlns:sm="smo" uri="smo">
      <sm:colorScheme xmlns:sm="smo" id="1774876006" val="7"/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title>
      <c:tx>
        <c:rich>
          <a:bodyPr/>
          <a:lstStyle/>
          <a:p>
            <a:pPr>
              <a:defRPr lang="ru-ru" sz="1000" b="1" i="0" u="none" strike="noStrike">
                <a:solidFill>
                  <a:srgbClr val="000000"/>
                </a:solidFill>
                <a:latin typeface="Arial"/>
              </a:defRPr>
            </a:pPr>
            <a:r>
              <a:t>Накопительная динамика рассмотренных дел</a:t>
            </a:r>
          </a:p>
        </c:rich>
      </c:tx>
      <c:layout/>
      <c:overlay val="0"/>
      <c:spPr>
        <a:noFill/>
        <a:ln>
          <a:noFill/>
        </a:ln>
      </c:spPr>
    </c:title>
    <c:plotArea>
      <c:layout/>
      <c:areaChart>
        <c:grouping val="standard"/>
        <c:ser>
          <c:idx val="0"/>
          <c:order val="0"/>
          <c:tx>
            <c:strRef>
              <c:f>'Исходные данные'!$M$7</c:f>
              <c:strCache>
                <c:ptCount val="1"/>
                <c:pt idx="0">
                  <c:v/>
                </c:pt>
              </c:strCache>
            </c:strRef>
          </c:tx>
          <c:cat>
            <c:numRef>
              <c:f>'Исходные данные'!$B$1:$L$1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'Исходные данные'!$B$3:$L$3</c:f>
              <c:numCache>
                <c:formatCode>General</c:formatCode>
                <c:ptCount val="11"/>
                <c:pt idx="0">
                  <c:v>398765</c:v>
                </c:pt>
                <c:pt idx="1">
                  <c:v>472450</c:v>
                </c:pt>
                <c:pt idx="2">
                  <c:v>501420</c:v>
                </c:pt>
                <c:pt idx="3">
                  <c:v>523100</c:v>
                </c:pt>
                <c:pt idx="4">
                  <c:v>520800</c:v>
                </c:pt>
                <c:pt idx="5">
                  <c:v>523600</c:v>
                </c:pt>
                <c:pt idx="6">
                  <c:v>472000</c:v>
                </c:pt>
                <c:pt idx="7">
                  <c:v>521000</c:v>
                </c:pt>
                <c:pt idx="8">
                  <c:v>505500</c:v>
                </c:pt>
                <c:pt idx="9">
                  <c:v>509250</c:v>
                </c:pt>
                <c:pt idx="10">
                  <c:v>514100</c:v>
                </c:pt>
              </c:numCache>
            </c:numRef>
          </c:val>
          <c:extLst>
            <c:ext xmlns:sm="smo" uri="smo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10"/>
        <c:axId val="11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txPr>
          <a:bodyPr rot="-5400000"/>
          <a:lstStyle/>
          <a:p>
            <a:pPr>
              <a:defRPr/>
            </a:pPr>
          </a:p>
        </c:txPr>
        <c:crossAx val="11"/>
        <c:crosses val="autoZero"/>
        <c:auto val="1"/>
      </c:catAx>
      <c:valAx>
        <c:axId val="11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</c:chart>
  <c:spPr/>
  <c:txPr>
    <a:bodyPr anchor="ctr" anchorCtr="1" rot="0"/>
    <a:lstStyle/>
    <a:p>
      <a:pPr>
        <a:defRPr lang="ru-ru" sz="1000" b="0" i="0" u="none" strike="noStrike">
          <a:solidFill>
            <a:srgbClr val="000000"/>
          </a:solidFill>
          <a:latin typeface="Arial"/>
        </a:defRPr>
      </a:pPr>
    </a:p>
  </c:txPr>
  <c:extLst>
    <c:ext xmlns:sm="smo" uri="smo">
      <sm:colorScheme xmlns:sm="smo" id="1774876006" val="7"/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style val="2"/>
  <c:chart>
    <c:title>
      <c:tx>
        <c:rich>
          <a:bodyPr/>
          <a:lstStyle/>
          <a:p>
            <a:pPr>
              <a:defRPr lang="ru-ru" sz="1000" b="1" i="0" u="none" strike="noStrike">
                <a:solidFill>
                  <a:srgbClr val="000000"/>
                </a:solidFill>
                <a:latin typeface="Arial"/>
              </a:defRPr>
            </a:pPr>
            <a:r>
              <a:t>Комбинированный график</a:t>
            </a:r>
          </a:p>
        </c:rich>
      </c:tx>
      <c:layout/>
      <c:overlay val="0"/>
      <c:spPr>
        <a:noFill/>
        <a:ln>
          <a:noFill/>
        </a:ln>
      </c:spPr>
    </c:title>
    <c:plotArea>
      <c:layout/>
      <c:lineChart>
        <c:grouping val="standard"/>
        <c:ser>
          <c:idx val="0"/>
          <c:order val="0"/>
          <c:cat>
            <c:numRef>
              <c:f>'Исходные данные'!$B$1:$L$1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'Исходные данные'!$B$4:$L$4</c:f>
              <c:numCache>
                <c:formatCode>General</c:formatCode>
                <c:ptCount val="11"/>
                <c:pt idx="0">
                  <c:v>350000</c:v>
                </c:pt>
                <c:pt idx="1">
                  <c:v>415000</c:v>
                </c:pt>
                <c:pt idx="2">
                  <c:v>440000</c:v>
                </c:pt>
                <c:pt idx="3">
                  <c:v>460000</c:v>
                </c:pt>
                <c:pt idx="4">
                  <c:v>458000</c:v>
                </c:pt>
                <c:pt idx="5">
                  <c:v>460000</c:v>
                </c:pt>
                <c:pt idx="6">
                  <c:v>415000</c:v>
                </c:pt>
                <c:pt idx="7">
                  <c:v>458000</c:v>
                </c:pt>
                <c:pt idx="8">
                  <c:v>445000</c:v>
                </c:pt>
                <c:pt idx="9">
                  <c:v>450000</c:v>
                </c:pt>
                <c:pt idx="10">
                  <c:v>455000</c:v>
                </c:pt>
              </c:numCache>
            </c:numRef>
          </c:val>
          <c:smooth val="0"/>
          <c:extLst>
            <c:ext xmlns:sm="smo" uri="smo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marker val="1"/>
        <c:extLst>
          <c:ext xmlns:sm="smo" uri="smo">
            <sm:boxPlot xmlns:sm="smo" val="0"/>
            <sm:turned xmlns:sm="smo" val="0"/>
          </c:ext>
        </c:extLst>
        <c:axId val="10"/>
        <c:axId val="11"/>
      </c:lineChart>
      <c:barChart>
        <c:barDir val="col"/>
        <c:grouping val="standard"/>
        <c:ser>
          <c:idx val="1"/>
          <c:order val="1"/>
          <c:cat>
            <c:numRef>
              <c:f>'Исходные данные'!$B$1:$L$1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'Исходные данные'!$B$4:$L$4</c:f>
              <c:numCache>
                <c:formatCode>General</c:formatCode>
                <c:ptCount val="11"/>
                <c:pt idx="0">
                  <c:v>350000</c:v>
                </c:pt>
                <c:pt idx="1">
                  <c:v>415000</c:v>
                </c:pt>
                <c:pt idx="2">
                  <c:v>440000</c:v>
                </c:pt>
                <c:pt idx="3">
                  <c:v>460000</c:v>
                </c:pt>
                <c:pt idx="4">
                  <c:v>458000</c:v>
                </c:pt>
                <c:pt idx="5">
                  <c:v>460000</c:v>
                </c:pt>
                <c:pt idx="6">
                  <c:v>415000</c:v>
                </c:pt>
                <c:pt idx="7">
                  <c:v>458000</c:v>
                </c:pt>
                <c:pt idx="8">
                  <c:v>445000</c:v>
                </c:pt>
                <c:pt idx="9">
                  <c:v>450000</c:v>
                </c:pt>
                <c:pt idx="10">
                  <c:v>455000</c:v>
                </c:pt>
              </c:numCache>
            </c:numRef>
          </c:val>
          <c:extLst>
            <c:ext xmlns:sm="smo" uri="smo">
              <sm:meanLine>
                <c:spPr>
                  <a:ln>
                    <a:noFill/>
                  </a:ln>
                </c:spPr>
              </sm:meanLine>
              <sm:minMaxLine>
                <c:spPr>
                  <a:ln>
                    <a:noFill/>
                  </a:ln>
                </c:spPr>
              </sm:minMaxLine>
              <sm:stDevLine>
                <c:spPr>
                  <a:ln>
                    <a:noFill/>
                  </a:ln>
                </c:spPr>
              </sm:stDevLine>
              <sm:trendLine>
                <c:spPr>
                  <a:ln>
                    <a:noFill/>
                  </a:ln>
                </c:spPr>
              </sm:trendLin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00"/>
        <c:axId val="10"/>
        <c:axId val="11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txPr>
          <a:bodyPr rot="-5400000"/>
          <a:lstStyle/>
          <a:p>
            <a:pPr>
              <a:defRPr/>
            </a:pPr>
          </a:p>
        </c:txPr>
        <c:crossAx val="11"/>
        <c:crosses val="autoZero"/>
        <c:auto val="1"/>
      </c:catAx>
      <c:valAx>
        <c:axId val="11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</c:chart>
  <c:spPr/>
  <c:txPr>
    <a:bodyPr anchor="ctr" anchorCtr="1" rot="0"/>
    <a:lstStyle/>
    <a:p>
      <a:pPr>
        <a:defRPr lang="ru-ru" sz="1000" b="0" i="0" u="none" strike="noStrike">
          <a:solidFill>
            <a:srgbClr val="000000"/>
          </a:solidFill>
          <a:latin typeface="Arial"/>
        </a:defRPr>
      </a:pPr>
    </a:p>
  </c:txPr>
  <c:extLst>
    <c:ext xmlns:sm="smo" uri="smo">
      <sm:colorScheme xmlns:sm="smo" id="1774876006" val="7"/>
    </c:ext>
  </c:extLst>
</c:chartSpace>
</file>

<file path=xl/drawings/_rels/drawing1.xml.rels><?xml version="1.0" encoding="UTF-8" standalone="yes" 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501015</xdr:colOff>
      <xdr:row>8</xdr:row>
      <xdr:rowOff>123190</xdr:rowOff>
    </xdr:from>
    <xdr:to>
      <xdr:col>3</xdr:col>
      <xdr:colOff>62230</xdr:colOff>
      <xdr:row>19</xdr:row>
      <xdr:rowOff>149225</xdr:rowOff>
    </xdr:to>
    <xdr:graphicFrame macro="">
      <xdr:nvGraphicFramePr>
        <xdr:cNvPr id="7" name="Диаграмма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535305</xdr:colOff>
      <xdr:row>8</xdr:row>
      <xdr:rowOff>113665</xdr:rowOff>
    </xdr:from>
    <xdr:to>
      <xdr:col>7</xdr:col>
      <xdr:colOff>238125</xdr:colOff>
      <xdr:row>23</xdr:row>
      <xdr:rowOff>6985</xdr:rowOff>
    </xdr:to>
    <xdr:graphicFrame macro="">
      <xdr:nvGraphicFramePr>
        <xdr:cNvPr id="6" name="Диаграмма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196850</xdr:colOff>
      <xdr:row>9</xdr:row>
      <xdr:rowOff>9525</xdr:rowOff>
    </xdr:from>
    <xdr:to>
      <xdr:col>15</xdr:col>
      <xdr:colOff>201295</xdr:colOff>
      <xdr:row>20</xdr:row>
      <xdr:rowOff>35560</xdr:rowOff>
    </xdr:to>
    <xdr:graphicFrame macro="">
      <xdr:nvGraphicFramePr>
        <xdr:cNvPr id="5" name="Диаграмма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466090</xdr:colOff>
      <xdr:row>22</xdr:row>
      <xdr:rowOff>76200</xdr:rowOff>
    </xdr:from>
    <xdr:to>
      <xdr:col>3</xdr:col>
      <xdr:colOff>180975</xdr:colOff>
      <xdr:row>33</xdr:row>
      <xdr:rowOff>102235</xdr:rowOff>
    </xdr:to>
    <xdr:graphicFrame macro="">
      <xdr:nvGraphicFramePr>
        <xdr:cNvPr id="4" name="Диаграмма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276225</xdr:colOff>
      <xdr:row>22</xdr:row>
      <xdr:rowOff>113665</xdr:rowOff>
    </xdr:from>
    <xdr:to>
      <xdr:col>13</xdr:col>
      <xdr:colOff>104775</xdr:colOff>
      <xdr:row>33</xdr:row>
      <xdr:rowOff>139700</xdr:rowOff>
    </xdr:to>
    <xdr:graphicFrame macro="">
      <xdr:nvGraphicFramePr>
        <xdr:cNvPr id="3" name="Диаграмма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333375</xdr:colOff>
      <xdr:row>9</xdr:row>
      <xdr:rowOff>142240</xdr:rowOff>
    </xdr:from>
    <xdr:to>
      <xdr:col>19</xdr:col>
      <xdr:colOff>561975</xdr:colOff>
      <xdr:row>20</xdr:row>
      <xdr:rowOff>168275</xdr:rowOff>
    </xdr:to>
    <xdr:graphicFrame macro="">
      <xdr:nvGraphicFramePr>
        <xdr:cNvPr id="2" name="Диаграмма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 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V26"/>
  <sheetViews>
    <sheetView tabSelected="1" view="normal" topLeftCell="A4" workbookViewId="0">
      <selection activeCell="S7" sqref="S7"/>
    </sheetView>
  </sheetViews>
  <sheetFormatPr baseColWidth="9" defaultColWidth="10.000000" defaultRowHeight="13.45"/>
  <cols>
    <col min="1" max="1" width="29.459459" customWidth="1"/>
    <col min="2" max="12" width="8.918919" customWidth="1"/>
  </cols>
  <sheetData>
    <row r="1" spans="1:12">
      <c r="A1" t="s">
        <v>0</v>
      </c>
      <c r="B1" t="n">
        <v>2014</v>
      </c>
      <c r="C1" t="n">
        <v>2015</v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</row>
    <row r="2" spans="1:12">
      <c r="A2" t="s">
        <v>1</v>
      </c>
      <c r="B2" t="n">
        <v>411494</v>
      </c>
      <c r="C2" t="n">
        <v>486744</v>
      </c>
      <c r="D2" t="n">
        <v>516408</v>
      </c>
      <c r="E2" t="n">
        <v>539023</v>
      </c>
      <c r="F2" t="n">
        <v>536690</v>
      </c>
      <c r="G2" t="n">
        <v>539727</v>
      </c>
      <c r="H2" t="n">
        <v>486425</v>
      </c>
      <c r="I2" t="n">
        <v>537041</v>
      </c>
      <c r="J2" t="n">
        <v>521116</v>
      </c>
      <c r="K2" t="n">
        <v>525000</v>
      </c>
      <c r="L2" t="n">
        <v>530000</v>
      </c>
    </row>
    <row r="3" spans="1:12">
      <c r="A3" t="s">
        <v>2</v>
      </c>
      <c r="B3" t="n">
        <v>398765</v>
      </c>
      <c r="C3" t="n">
        <v>472450</v>
      </c>
      <c r="D3" t="n">
        <v>501420</v>
      </c>
      <c r="E3" t="n">
        <v>523100</v>
      </c>
      <c r="F3" t="n">
        <v>520800</v>
      </c>
      <c r="G3" t="n">
        <v>523600</v>
      </c>
      <c r="H3" t="n">
        <v>472000</v>
      </c>
      <c r="I3" t="n">
        <v>521000</v>
      </c>
      <c r="J3" t="n">
        <v>505500</v>
      </c>
      <c r="K3" t="n">
        <v>509250</v>
      </c>
      <c r="L3" t="n">
        <v>514100</v>
      </c>
    </row>
    <row r="4" spans="1:12">
      <c r="A4" t="s">
        <v>3</v>
      </c>
      <c r="B4" t="n">
        <v>350000</v>
      </c>
      <c r="C4" t="n">
        <v>415000</v>
      </c>
      <c r="D4" t="n">
        <v>440000</v>
      </c>
      <c r="E4" t="n">
        <v>460000</v>
      </c>
      <c r="F4" t="n">
        <v>458000</v>
      </c>
      <c r="G4" t="n">
        <v>460000</v>
      </c>
      <c r="H4" t="n">
        <v>415000</v>
      </c>
      <c r="I4" t="n">
        <v>458000</v>
      </c>
      <c r="J4" t="n">
        <v>445000</v>
      </c>
      <c r="K4" t="n">
        <v>450000</v>
      </c>
      <c r="L4" t="n">
        <v>455000</v>
      </c>
    </row>
    <row r="5" spans="1:12">
      <c r="A5" t="s">
        <v>4</v>
      </c>
      <c r="B5" t="n">
        <v>25000</v>
      </c>
      <c r="C5" t="n">
        <v>27500</v>
      </c>
      <c r="D5" t="n">
        <v>29000</v>
      </c>
      <c r="E5" t="n">
        <v>30500</v>
      </c>
      <c r="F5" t="n">
        <v>30200</v>
      </c>
      <c r="G5" t="n">
        <v>30000</v>
      </c>
      <c r="H5" t="n">
        <v>27000</v>
      </c>
      <c r="I5" t="n">
        <v>30000</v>
      </c>
      <c r="J5" t="n">
        <v>29000</v>
      </c>
      <c r="K5" t="n">
        <v>28500</v>
      </c>
      <c r="L5" t="n">
        <v>28000</v>
      </c>
    </row>
    <row r="6" spans="1:12">
      <c r="A6" t="s">
        <v>5</v>
      </c>
      <c r="B6" t="n">
        <v>23765</v>
      </c>
      <c r="C6" t="n">
        <v>29950</v>
      </c>
      <c r="D6" t="n">
        <v>32420</v>
      </c>
      <c r="E6" t="n">
        <v>32600</v>
      </c>
      <c r="F6" t="n">
        <v>32600</v>
      </c>
      <c r="G6" t="n">
        <v>33600</v>
      </c>
      <c r="H6" t="n">
        <v>30000</v>
      </c>
      <c r="I6" t="n">
        <v>33000</v>
      </c>
      <c r="J6" t="n">
        <v>31500</v>
      </c>
      <c r="K6" t="n">
        <v>30750</v>
      </c>
      <c r="L6" t="n">
        <v>31100</v>
      </c>
    </row>
    <row r="7" spans="1:12">
      <c r="A7" t="s">
        <v>6</v>
      </c>
      <c r="B7" t="n">
        <v>35</v>
      </c>
      <c r="C7" t="n">
        <v>34</v>
      </c>
      <c r="D7" t="n">
        <v>33</v>
      </c>
      <c r="E7" t="n">
        <v>32</v>
      </c>
      <c r="F7" t="n">
        <v>31</v>
      </c>
      <c r="G7" t="n">
        <v>30</v>
      </c>
      <c r="H7" t="n">
        <v>33</v>
      </c>
      <c r="I7" t="n">
        <v>29</v>
      </c>
      <c r="J7" t="n">
        <v>28</v>
      </c>
      <c r="K7" t="n">
        <v>28</v>
      </c>
      <c r="L7" t="n">
        <v>27</v>
      </c>
    </row>
    <row r="11" spans="6:7">
      <c r="F11" t="n">
        <v>2014</v>
      </c>
      <c r="G11" t="n">
        <v>2024</v>
      </c>
    </row>
    <row r="12" spans="5:7">
      <c r="E12" t="s">
        <v>3</v>
      </c>
      <c r="F12" t="n">
        <v>350000</v>
      </c>
      <c r="G12" t="n">
        <v>455000</v>
      </c>
    </row>
    <row r="13" spans="5:7">
      <c r="E13" t="s">
        <v>4</v>
      </c>
      <c r="F13" t="n">
        <v>25000</v>
      </c>
      <c r="G13" t="n">
        <v>28000</v>
      </c>
    </row>
    <row r="14" spans="5:7">
      <c r="E14" t="s">
        <v>5</v>
      </c>
      <c r="F14" t="n">
        <v>23765</v>
      </c>
      <c r="G14" t="n">
        <v>31100</v>
      </c>
    </row>
    <row r="25" spans="9:20">
      <c r="I25"/>
      <c r="J25"/>
      <c r="K25"/>
      <c r="L25"/>
      <c r="M25"/>
      <c r="N25"/>
      <c r="O25"/>
      <c r="P25"/>
      <c r="Q25"/>
      <c r="R25"/>
      <c r="S25"/>
      <c r="T25"/>
    </row>
    <row r="26" spans="9:20">
      <c r="I26"/>
      <c r="J26"/>
      <c r="K26"/>
      <c r="L26"/>
      <c r="M26"/>
      <c r="N26"/>
      <c r="O26"/>
      <c r="P26"/>
      <c r="Q26"/>
      <c r="R26"/>
      <c r="S26"/>
      <c r="T26"/>
    </row>
  </sheetData>
  <printOptions>
    <extLst>
      <ext uri="smNativeData">
        <pm:pageFlags xmlns:pm="smNativeData" id="1774876006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74876006" l="56" r="56" t="56" b="56" borderId="0" fillId="0" vertical="0"/>
        <pm:footer xmlns:pm="smNativeData" id="1774876006" l="56" r="56" t="56" b="56" borderId="0" fillId="0" vertical="2"/>
        <pm:paperBin xmlns:pm="smNativeData" id="1774876006" Id="0" type="0" value="0"/>
        <pm:paperBin xmlns:pm="smNativeData" id="1774876006" Id="1" type="0" value="0"/>
      </ext>
    </extLst>
  </headerFooter>
  <drawing r:id="rId1"/>
  <extLst>
    <ext uri="smNativeData">
      <pm:sheetPrefs xmlns:pm="smNativeData" day="177487600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8"/>
  <sheetViews>
    <sheetView view="normal" workbookViewId="0">
      <selection activeCell="D9" sqref="D9"/>
    </sheetView>
  </sheetViews>
  <sheetFormatPr baseColWidth="9" defaultColWidth="10.000000" defaultRowHeight="13.45"/>
  <cols>
    <col min="1" max="1" width="43.513514" customWidth="1"/>
    <col min="2" max="3" width="10.405405" customWidth="1"/>
    <col min="4" max="6" width="22.702703" customWidth="1"/>
  </cols>
  <sheetData>
    <row r="1" spans="1:3">
      <c r="A1" t="s">
        <v>0</v>
      </c>
      <c r="B1" t="s">
        <v>7</v>
      </c>
      <c r="C1" t="s">
        <v>8</v>
      </c>
    </row>
    <row r="2" spans="1:3">
      <c r="A2" t="s">
        <v>9</v>
      </c>
      <c r="B2" s="1">
        <f>('Исходные данные'!L2-'Исходные данные'!B2)/'Исходные данные'!B2*100</f>
        <v>28.7989618317643021</v>
      </c>
      <c r="C2" t="s">
        <v>10</v>
      </c>
    </row>
    <row r="3" spans="1:3">
      <c r="A3" t="s">
        <v>11</v>
      </c>
      <c r="B3" s="1">
        <f>('Исходные данные'!L3-'Исходные данные'!B3)/'Исходные данные'!B3*100</f>
        <v>28.9230499166176003</v>
      </c>
      <c r="C3" t="s">
        <v>10</v>
      </c>
    </row>
    <row r="4" spans="1:3">
      <c r="A4" t="s">
        <v>12</v>
      </c>
      <c r="B4" s="1">
        <f>'Исходные данные'!B4/'Исходные данные'!B3*100</f>
        <v>87.7709929407043887</v>
      </c>
      <c r="C4" s="1">
        <f>'Исходные данные'!C4/'Исходные данные'!C3*100</f>
        <v>87.839983066991195</v>
      </c>
    </row>
    <row r="5" spans="1:3">
      <c r="A5" t="s">
        <v>13</v>
      </c>
      <c r="B5" s="1">
        <f>'Исходные данные'!B5/'Исходные данные'!B3*100</f>
        <v>6.26935663862169967</v>
      </c>
      <c r="C5" s="1">
        <f>'Исходные данные'!C5/'Исходные данные'!C3*100</f>
        <v>5.82072176949940001</v>
      </c>
    </row>
    <row r="6" spans="1:3">
      <c r="A6" t="s">
        <v>14</v>
      </c>
      <c r="B6" s="1">
        <f>'Исходные данные'!B6/'Исходные данные'!B3*100</f>
        <v>5.95965042067380057</v>
      </c>
      <c r="C6" s="1">
        <f>'Исходные данные'!C6/'Исходные данные'!C3*100</f>
        <v>6.3392951635093997</v>
      </c>
    </row>
    <row r="7" spans="1:3">
      <c r="A7" t="s">
        <v>15</v>
      </c>
      <c r="B7" s="1">
        <f>'Исходные данные'!B3/'Исходные данные'!B2*100</f>
        <v>96.9066377638555991</v>
      </c>
      <c r="C7" s="1">
        <f>'Исходные данные'!C3/'Исходные данные'!C2*100</f>
        <v>97.0633433591375052</v>
      </c>
    </row>
    <row r="8" spans="1:3">
      <c r="A8" t="s">
        <v>16</v>
      </c>
      <c r="B8" t="n">
        <v>35</v>
      </c>
      <c r="C8" t="n">
        <v>27</v>
      </c>
    </row>
  </sheetData>
  <printOptions>
    <extLst>
      <ext uri="smNativeData">
        <pm:pageFlags xmlns:pm="smNativeData" id="1774876006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74876006" l="56" r="56" t="56" b="56" borderId="0" fillId="0" vertical="0"/>
        <pm:footer xmlns:pm="smNativeData" id="1774876006" l="56" r="56" t="56" b="56" borderId="0" fillId="0" vertical="2"/>
        <pm:paperBin xmlns:pm="smNativeData" id="1774876006" Id="0" type="0" value="0"/>
        <pm:paperBin xmlns:pm="smNativeData" id="1774876006" Id="1" type="0" value="0"/>
      </ext>
    </extLst>
  </headerFooter>
  <legacyDrawing r:id="rId2"/>
  <extLst>
    <ext uri="smNativeData">
      <pm:sheetPrefs xmlns:pm="smNativeData" day="177487600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C10"/>
  <sheetViews>
    <sheetView view="normal" workbookViewId="0">
      <selection activeCell="B16" sqref="B16"/>
    </sheetView>
  </sheetViews>
  <sheetFormatPr baseColWidth="9" defaultColWidth="10.000000" defaultRowHeight="13.45"/>
  <cols>
    <col min="1" max="5" width="15.135135" customWidth="1"/>
    <col min="8" max="13" width="12.972973" customWidth="1"/>
  </cols>
  <sheetData>
    <row r="1" spans="1:3">
      <c r="A1" t="s">
        <v>0</v>
      </c>
      <c r="B1" t="n">
        <v>2014</v>
      </c>
      <c r="C1" t="n">
        <v>2024</v>
      </c>
    </row>
    <row r="2" spans="1:3">
      <c r="A2" t="s">
        <v>1</v>
      </c>
      <c r="B2">
        <f>'Исходные данные'!B2</f>
        <v>411494</v>
      </c>
      <c r="C2">
        <f>'Исходные данные'!L2</f>
        <v>530000</v>
      </c>
    </row>
    <row r="3" spans="1:3">
      <c r="A3" t="s">
        <v>17</v>
      </c>
      <c r="B3">
        <f>'Исходные данные'!B3</f>
        <v>398765</v>
      </c>
      <c r="C3">
        <f>'Исходные данные'!L3</f>
        <v>514100</v>
      </c>
    </row>
    <row r="4" spans="1:3">
      <c r="A4" t="s">
        <v>18</v>
      </c>
      <c r="B4">
        <f>'Исходные данные'!B4</f>
        <v>350000</v>
      </c>
      <c r="C4">
        <f>'Исходные данные'!L4</f>
        <v>455000</v>
      </c>
    </row>
    <row r="5" spans="1:3">
      <c r="A5" t="s">
        <v>4</v>
      </c>
      <c r="B5">
        <f>'Исходные данные'!B5</f>
        <v>25000</v>
      </c>
      <c r="C5">
        <f>'Исходные данные'!L5</f>
        <v>28000</v>
      </c>
    </row>
    <row r="6" spans="1:3">
      <c r="A6" t="s">
        <v>19</v>
      </c>
      <c r="B6">
        <f>'Исходные данные'!B6</f>
        <v>23765</v>
      </c>
      <c r="C6">
        <f>'Исходные данные'!L6</f>
        <v>31100</v>
      </c>
    </row>
    <row r="7" spans="1:3">
      <c r="A7" t="s">
        <v>20</v>
      </c>
      <c r="B7" s="2">
        <f>'Расчетные показатели'!C4</f>
        <v>87.839983066991195</v>
      </c>
      <c r="C7">
        <f>'Расчетные показатели'!D4</f>
        <v>0</v>
      </c>
    </row>
    <row r="8" spans="1:3">
      <c r="A8" t="s">
        <v>21</v>
      </c>
      <c r="B8" s="3">
        <f>'Расчетные показатели'!C5</f>
        <v>5.82072176949940001</v>
      </c>
      <c r="C8">
        <f>'Расчетные показатели'!D5</f>
        <v>0</v>
      </c>
    </row>
    <row r="9" spans="1:3">
      <c r="A9" t="s">
        <v>22</v>
      </c>
      <c r="B9" s="4">
        <f>'Расчетные показатели'!C7</f>
        <v>97.0633433591375052</v>
      </c>
      <c r="C9">
        <f>'Расчетные показатели'!D7</f>
        <v>0</v>
      </c>
    </row>
    <row r="10" spans="1:3">
      <c r="A10" t="s">
        <v>23</v>
      </c>
      <c r="B10">
        <f>'Исходные данные'!B7</f>
        <v>35</v>
      </c>
      <c r="C10">
        <f>'Исходные данные'!L7</f>
        <v>27</v>
      </c>
    </row>
  </sheetData>
  <printOptions>
    <extLst>
      <ext uri="smNativeData">
        <pm:pageFlags xmlns:pm="smNativeData" id="1774876006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74876006" l="56" r="56" t="56" b="56" borderId="0" fillId="0" vertical="0"/>
        <pm:footer xmlns:pm="smNativeData" id="1774876006" l="56" r="56" t="56" b="56" borderId="0" fillId="0" vertical="2"/>
        <pm:paperBin xmlns:pm="smNativeData" id="1774876006" Id="0" type="0" value="0"/>
        <pm:paperBin xmlns:pm="smNativeData" id="1774876006" Id="1" type="0" value="0"/>
      </ext>
    </extLst>
  </headerFooter>
  <extLst>
    <ext uri="smNativeData">
      <pm:sheetPrefs xmlns:pm="smNativeData" day="177487600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Пользователь</cp:lastModifiedBy>
  <cp:revision>0</cp:revision>
  <dcterms:created xsi:type="dcterms:W3CDTF">2026-03-30T12:18:10Z</dcterms:created>
  <dcterms:modified xsi:type="dcterms:W3CDTF">2026-03-30T13:06:46Z</dcterms:modified>
</cp:coreProperties>
</file>